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i val="1"/>
      <color rgb="008C919C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4441"/>
      </patternFill>
    </fill>
    <fill>
      <patternFill patternType="solid">
        <fgColor rgb="00D9D6CB"/>
      </patternFill>
    </fill>
    <fill>
      <patternFill patternType="solid">
        <fgColor rgb="00FFF2AC"/>
      </patternFill>
    </fill>
  </fills>
  <borders count="2">
    <border>
      <left/>
      <right/>
      <top/>
      <bottom/>
      <diagonal/>
    </border>
    <border>
      <left style="thin">
        <color rgb="00B4B2A9"/>
      </left>
      <right style="thin">
        <color rgb="00B4B2A9"/>
      </right>
      <top style="thin">
        <color rgb="00B4B2A9"/>
      </top>
      <bottom style="thin">
        <color rgb="00B4B2A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/>
    </xf>
    <xf numFmtId="0" fontId="5" fillId="3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5" customWidth="1" min="3" max="3"/>
    <col width="46" customWidth="1" min="4" max="4"/>
    <col width="10" customWidth="1" min="5" max="5"/>
    <col width="20" customWidth="1" min="6" max="6"/>
    <col width="26" customWidth="1" min="7" max="7"/>
    <col width="10" customWidth="1" min="8" max="8"/>
    <col width="13" customWidth="1" min="9" max="9"/>
  </cols>
  <sheetData>
    <row r="1">
      <c r="A1" s="1" t="inlineStr">
        <is>
          <t>ALBUM-ART MATRIX — PARTS TRACKER (minimal build)</t>
        </is>
      </c>
    </row>
    <row r="2">
      <c r="A2" s="2" t="inlineStr">
        <is>
          <t>Yellow = fill as you shop. Found-at/Actual pre-filled from your Adafruit + Micro Center + Amazon carts (2026-08). Adafruit checkout: code CPDAY = 15% off. Panels + Mean Well trio still open — see PITCH DECISION row and Mouser notes.</t>
        </is>
      </c>
    </row>
    <row r="4">
      <c r="A4" s="3" t="inlineStr">
        <is>
          <t>Section</t>
        </is>
      </c>
      <c r="B4" s="3" t="inlineStr">
        <is>
          <t>Item</t>
        </is>
      </c>
      <c r="C4" s="3" t="inlineStr">
        <is>
          <t>Qty</t>
        </is>
      </c>
      <c r="D4" s="3" t="inlineStr">
        <is>
          <t>Must-match spec / notes</t>
        </is>
      </c>
      <c r="E4" s="3" t="inlineStr">
        <is>
          <t>Est. $</t>
        </is>
      </c>
      <c r="F4" s="3" t="inlineStr">
        <is>
          <t>Suggested source</t>
        </is>
      </c>
      <c r="G4" s="3" t="inlineStr">
        <is>
          <t>Where I found it</t>
        </is>
      </c>
      <c r="H4" s="3" t="inlineStr">
        <is>
          <t>Actual $</t>
        </is>
      </c>
      <c r="I4" s="3" t="inlineStr">
        <is>
          <t>Bought (date)</t>
        </is>
      </c>
    </row>
    <row r="5">
      <c r="A5" s="4" t="inlineStr"/>
      <c r="B5" s="5" t="inlineStr">
        <is>
          <t>(example row — overwrite or ignore)</t>
        </is>
      </c>
      <c r="C5" s="4" t="inlineStr"/>
      <c r="D5" s="5" t="inlineStr">
        <is>
          <t>shows the format</t>
        </is>
      </c>
      <c r="E5" s="6" t="n"/>
      <c r="F5" s="4" t="inlineStr"/>
      <c r="G5" s="5" t="inlineStr">
        <is>
          <t>Micro Center Marietta</t>
        </is>
      </c>
      <c r="H5" s="6" t="n">
        <v>42.99</v>
      </c>
      <c r="I5" s="4" t="inlineStr">
        <is>
          <t>Aug 23</t>
        </is>
      </c>
    </row>
    <row r="6">
      <c r="A6" s="7" t="inlineStr">
        <is>
          <t>S1 — FIRST LIGHT (one panel, bonnet)</t>
        </is>
      </c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9" t="inlineStr">
        <is>
          <t>S1</t>
        </is>
      </c>
      <c r="B7" s="10" t="inlineStr">
        <is>
          <t>Raspberry Pi 5 (1 GB or 2 GB)</t>
        </is>
      </c>
      <c r="C7" s="9" t="n">
        <v>1</v>
      </c>
      <c r="D7" s="10" t="inlineStr">
        <is>
          <t>1 GB works (zram configured); cut Amazon SANOOV 2 GB kit $109.99 dupe</t>
        </is>
      </c>
      <c r="E7" s="11" t="n">
        <v>43</v>
      </c>
      <c r="F7" s="9" t="inlineStr">
        <is>
          <t>Micro Center</t>
        </is>
      </c>
      <c r="G7" s="12" t="inlineStr">
        <is>
          <t>MC SKU 959668</t>
        </is>
      </c>
      <c r="H7" s="13" t="n">
        <v>42.99</v>
      </c>
      <c r="I7" s="14" t="inlineStr">
        <is>
          <t>Aug 21</t>
        </is>
      </c>
    </row>
    <row r="8">
      <c r="A8" s="9" t="inlineStr">
        <is>
          <t>S1</t>
        </is>
      </c>
      <c r="B8" s="10" t="inlineStr">
        <is>
          <t>microSD 32 GB+</t>
        </is>
      </c>
      <c r="C8" s="9" t="n">
        <v>1</v>
      </c>
      <c r="D8" s="10" t="inlineStr">
        <is>
          <t>32 GB is plenty — cut Amazon SanDisk 64 GB $25.99 dupe; keep an image backup</t>
        </is>
      </c>
      <c r="E8" s="11" t="n">
        <v>10</v>
      </c>
      <c r="F8" s="9" t="inlineStr">
        <is>
          <t>Micro Center</t>
        </is>
      </c>
      <c r="G8" s="12" t="inlineStr">
        <is>
          <t>MC SKU 482083</t>
        </is>
      </c>
      <c r="H8" s="13" t="n">
        <v>9.99</v>
      </c>
      <c r="I8" s="14" t="inlineStr">
        <is>
          <t>Aug 21</t>
        </is>
      </c>
    </row>
    <row r="9">
      <c r="A9" s="9" t="inlineStr">
        <is>
          <t>S1</t>
        </is>
      </c>
      <c r="B9" s="10" t="inlineStr">
        <is>
          <t>USB-C PD charger 27 W+</t>
        </is>
      </c>
      <c r="C9" s="9" t="n">
        <v>1</v>
      </c>
      <c r="D9" s="10" t="inlineStr">
        <is>
          <t>a charger you OWN is still $0; cut Amazon official-27W $23.91 dupe</t>
        </is>
      </c>
      <c r="E9" s="11" t="n">
        <v>0</v>
      </c>
      <c r="F9" s="9" t="inlineStr">
        <is>
          <t>drawer / Micro Center</t>
        </is>
      </c>
      <c r="G9" s="12" t="inlineStr">
        <is>
          <t>MC SKU 620351</t>
        </is>
      </c>
      <c r="H9" s="13" t="n">
        <v>11.99</v>
      </c>
      <c r="I9" s="14" t="inlineStr">
        <is>
          <t>Aug 21</t>
        </is>
      </c>
    </row>
    <row r="10">
      <c r="A10" s="9" t="inlineStr">
        <is>
          <t>S1</t>
        </is>
      </c>
      <c r="B10" s="10" t="inlineStr">
        <is>
          <t>Pi 5 Active Cooler</t>
        </is>
      </c>
      <c r="C10" s="9" t="n">
        <v>1</v>
      </c>
      <c r="D10" s="10" t="inlineStr"/>
      <c r="E10" s="11" t="n">
        <v>6</v>
      </c>
      <c r="F10" s="9" t="inlineStr">
        <is>
          <t>Micro Center</t>
        </is>
      </c>
      <c r="G10" s="12" t="inlineStr">
        <is>
          <t>MC SKU 620310</t>
        </is>
      </c>
      <c r="H10" s="13" t="n">
        <v>9.99</v>
      </c>
      <c r="I10" s="14" t="inlineStr">
        <is>
          <t>Aug 21</t>
        </is>
      </c>
    </row>
    <row r="11">
      <c r="A11" s="9" t="inlineStr">
        <is>
          <t>S1</t>
        </is>
      </c>
      <c r="B11" s="10" t="inlineStr">
        <is>
          <t>Adafruit Triple LED Matrix Bonnet + riser</t>
        </is>
      </c>
      <c r="C11" s="9" t="n">
        <v>1</v>
      </c>
      <c r="D11" s="10" t="inlineStr">
        <is>
          <t>CHECK THE RISER BOX on the product page (+$1.95) — that kills the Amazon Frienda 8-pk $9.99 and MC stacking kit $13.99</t>
        </is>
      </c>
      <c r="E11" s="11" t="n">
        <v>12</v>
      </c>
      <c r="F11" s="9" t="inlineStr">
        <is>
          <t>Adafruit</t>
        </is>
      </c>
      <c r="G11" s="12" t="inlineStr">
        <is>
          <t>Adafruit #6358 + riser add-on</t>
        </is>
      </c>
      <c r="H11" s="13" t="n">
        <v>11.9</v>
      </c>
      <c r="I11" s="14" t="inlineStr"/>
    </row>
    <row r="12">
      <c r="A12" s="9" t="inlineStr">
        <is>
          <t>S1</t>
        </is>
      </c>
      <c r="B12" s="10" t="inlineStr">
        <is>
          <t>Mean Well LRS-50-5 (5 V/10 A)</t>
        </is>
      </c>
      <c r="C12" s="9" t="n">
        <v>1</v>
      </c>
      <c r="D12" s="10" t="inlineStr">
        <is>
          <t>authorized distributor only — Amazon 3P listing ($16.65 shipped) is not one, and Mouser is cheaper anyway</t>
        </is>
      </c>
      <c r="E12" s="11" t="n">
        <v>16</v>
      </c>
      <c r="F12" s="9" t="inlineStr">
        <is>
          <t>Mouser</t>
        </is>
      </c>
      <c r="G12" s="12" t="inlineStr">
        <is>
          <t>Mouser #709-LRS-50-5</t>
        </is>
      </c>
      <c r="H12" s="13" t="n"/>
      <c r="I12" s="14" t="inlineStr"/>
    </row>
    <row r="13">
      <c r="A13" s="9" t="inlineStr">
        <is>
          <t>S1</t>
        </is>
      </c>
      <c r="B13" s="10" t="inlineStr">
        <is>
          <t>IEC cord (becomes mains pigtail)</t>
        </is>
      </c>
      <c r="C13" s="9" t="n">
        <v>1</v>
      </c>
      <c r="D13" s="10" t="inlineStr">
        <is>
          <t>Amazon Basics 2-pk $11.18 beats MC single $12.99 — cut MC cord; cord #2 lands in S2</t>
        </is>
      </c>
      <c r="E13" s="11" t="n">
        <v>0</v>
      </c>
      <c r="F13" s="9" t="inlineStr">
        <is>
          <t>Amazon</t>
        </is>
      </c>
      <c r="G13" s="12" t="inlineStr">
        <is>
          <t>Amazon Basics C13 6 ft (x2 pack, 1 of 2)</t>
        </is>
      </c>
      <c r="H13" s="13" t="n">
        <v>5.59</v>
      </c>
      <c r="I13" s="14" t="inlineStr"/>
    </row>
    <row r="14">
      <c r="A14" s="9" t="inlineStr">
        <is>
          <t>S1</t>
        </is>
      </c>
      <c r="B14" s="10" t="inlineStr">
        <is>
          <t>TCS34725 color sensor</t>
        </is>
      </c>
      <c r="C14" s="9" t="n">
        <v>1</v>
      </c>
      <c r="D14" s="10" t="inlineStr">
        <is>
          <t>2-pk $8.99 beats Adafruit #1334 $7.95 single (spare incl); LED stays off during reads — script handles</t>
        </is>
      </c>
      <c r="E14" s="11" t="n">
        <v>8</v>
      </c>
      <c r="F14" s="9" t="inlineStr">
        <is>
          <t>Amazon</t>
        </is>
      </c>
      <c r="G14" s="12" t="inlineStr">
        <is>
          <t>Amazon GODIYMODULES 2-pk</t>
        </is>
      </c>
      <c r="H14" s="13" t="n">
        <v>8.99</v>
      </c>
      <c r="I14" s="14" t="inlineStr"/>
    </row>
    <row r="15">
      <c r="A15" s="7" t="inlineStr">
        <is>
          <t>S2 — THE 9-PANEL WALL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9" t="inlineStr">
        <is>
          <t>S2</t>
        </is>
      </c>
      <c r="B16" s="10" t="inlineStr">
        <is>
          <t>P2.5 64x64 HUB75 panels x10</t>
        </is>
      </c>
      <c r="C16" s="9" t="n">
        <v>10</v>
      </c>
      <c r="D16" s="10" t="inlineStr">
        <is>
          <t>Pi Hut Waveshare RGB-Matrix-P2.5-64x64 is the pick: keeps the 480 mm plan, page confirms 1/32 scan ABCDE + synchronous driver + &lt;=20 W (9x20=180 W on the 300 W PSU), and a reviewer runs it on the Adafruit bonnet. Buy 10 = 9 + same-batch spare. CHECK: does the $325 include US import duty? (China origin, de minimis is gone — carrier may bill after.) AliExpress ~$200 stays the gamble option; Amazon P3 $376 = out</t>
        </is>
      </c>
      <c r="E16" s="11" t="n">
        <v>252</v>
      </c>
      <c r="F16" s="9" t="inlineStr">
        <is>
          <t>The Pi Hut (Waveshare)</t>
        </is>
      </c>
      <c r="G16" s="12" t="inlineStr">
        <is>
          <t>Pi Hut WAV-23708, GBP 20.83 ex-VAT ea</t>
        </is>
      </c>
      <c r="H16" s="13" t="n">
        <v>325</v>
      </c>
      <c r="I16" s="14" t="inlineStr">
        <is>
          <t>Aug 21</t>
        </is>
      </c>
    </row>
    <row r="17">
      <c r="A17" s="9" t="inlineStr">
        <is>
          <t>S2</t>
        </is>
      </c>
      <c r="B17" s="10" t="inlineStr">
        <is>
          <t>Mean Well LRS-350-5 (5 V/60 A)</t>
        </is>
      </c>
      <c r="C17" s="9" t="n">
        <v>1</v>
      </c>
      <c r="D17" s="10" t="inlineStr">
        <is>
          <t>same rule — Amazon 3P $37.04 shipped vs Mouser ~$35 w/ free ship over $50 order</t>
        </is>
      </c>
      <c r="E17" s="11" t="n">
        <v>45</v>
      </c>
      <c r="F17" s="9" t="inlineStr">
        <is>
          <t>Mouser</t>
        </is>
      </c>
      <c r="G17" s="12" t="inlineStr">
        <is>
          <t>Mouser #709-LRS-350-5</t>
        </is>
      </c>
      <c r="H17" s="13" t="n"/>
      <c r="I17" s="14" t="inlineStr"/>
    </row>
    <row r="18">
      <c r="A18" s="9" t="inlineStr">
        <is>
          <t>S2</t>
        </is>
      </c>
      <c r="B18" s="10" t="inlineStr">
        <is>
          <t>SL22 10005 NTC inrush limiter</t>
        </is>
      </c>
      <c r="C18" s="9" t="n">
        <v>1</v>
      </c>
      <c r="D18" s="10" t="inlineStr">
        <is>
          <t>AMAZON CART HAS THE WRONG PART: SL22 0R516 is 0.5 ohm (limits nothing here; the sim used 10 ohm) + $9.90 Radwell shipping on a $1.82 part. Get 10005 in the Mouser order</t>
        </is>
      </c>
      <c r="E18" s="11" t="n">
        <v>3</v>
      </c>
      <c r="F18" s="9" t="inlineStr">
        <is>
          <t>Mouser</t>
        </is>
      </c>
      <c r="G18" s="12" t="inlineStr">
        <is>
          <t>Mouser #995-SL2210005</t>
        </is>
      </c>
      <c r="H18" s="13" t="n"/>
      <c r="I18" s="14" t="inlineStr"/>
    </row>
    <row r="19">
      <c r="A19" s="9" t="inlineStr">
        <is>
          <t>S2</t>
        </is>
      </c>
      <c r="B19" s="10" t="inlineStr">
        <is>
          <t>14 AWG silicone wire, red+black</t>
        </is>
      </c>
      <c r="C19" s="9" t="n">
        <v>1</v>
      </c>
      <c r="D19" s="10" t="inlineStr">
        <is>
          <t>25 ft 2-core spool = 25 ft each color; covers trunk + drops</t>
        </is>
      </c>
      <c r="E19" s="11" t="n">
        <v>12</v>
      </c>
      <c r="F19" s="9" t="inlineStr">
        <is>
          <t>Amazon</t>
        </is>
      </c>
      <c r="G19" s="12" t="inlineStr">
        <is>
          <t>Amazon Haerkn 2-core 25 ft</t>
        </is>
      </c>
      <c r="H19" s="13" t="n">
        <v>19.98</v>
      </c>
      <c r="I19" s="14" t="inlineStr"/>
    </row>
    <row r="20">
      <c r="A20" s="9" t="inlineStr">
        <is>
          <t>S2</t>
        </is>
      </c>
      <c r="B20" s="10" t="inlineStr">
        <is>
          <t>Bus bars / power distribution blocks</t>
        </is>
      </c>
      <c r="C20" s="9" t="n">
        <v>2</v>
      </c>
      <c r="D20" s="10" t="inlineStr">
        <is>
          <t>pair (pos+neg), 150 A, covers + lugs incl; skip if you fab the backplane PCB instead</t>
        </is>
      </c>
      <c r="E20" s="11" t="n">
        <v>10</v>
      </c>
      <c r="F20" s="9" t="inlineStr">
        <is>
          <t>Amazon</t>
        </is>
      </c>
      <c r="G20" s="12" t="inlineStr">
        <is>
          <t>Amazon RVBOATPAT pair</t>
        </is>
      </c>
      <c r="H20" s="13" t="n">
        <v>15.99</v>
      </c>
      <c r="I20" s="14" t="inlineStr"/>
    </row>
    <row r="21">
      <c r="A21" s="9" t="inlineStr">
        <is>
          <t>S2</t>
        </is>
      </c>
      <c r="B21" s="10" t="inlineStr">
        <is>
          <t>Inline ATC fuse holders, 14 AWG</t>
        </is>
      </c>
      <c r="C21" s="9" t="n">
        <v>10</v>
      </c>
      <c r="D21" s="10" t="inlineStr">
        <is>
          <t>FUSES NOT INCLUDED — next row; skip if fabbing the PCB (it has fuse clips)</t>
        </is>
      </c>
      <c r="E21" s="11" t="n">
        <v>12</v>
      </c>
      <c r="F21" s="9" t="inlineStr">
        <is>
          <t>Amazon</t>
        </is>
      </c>
      <c r="G21" s="12" t="inlineStr">
        <is>
          <t>Amazon Nilight 10-pk</t>
        </is>
      </c>
      <c r="H21" s="13" t="n">
        <v>9.550000000000001</v>
      </c>
      <c r="I21" s="14" t="inlineStr"/>
    </row>
    <row r="22">
      <c r="A22" s="9" t="inlineStr">
        <is>
          <t>S2</t>
        </is>
      </c>
      <c r="B22" s="10" t="inlineStr">
        <is>
          <t>ATO blade fuses 7.5 A</t>
        </is>
      </c>
      <c r="C22" s="9" t="n">
        <v>1</v>
      </c>
      <c r="D22" s="10" t="inlineStr">
        <is>
          <t>100-pc + pullers; 7.5 A per injection drop is right for 2 panels/drop</t>
        </is>
      </c>
      <c r="E22" s="11" t="n">
        <v>6</v>
      </c>
      <c r="F22" s="9" t="inlineStr">
        <is>
          <t>Amazon</t>
        </is>
      </c>
      <c r="G22" s="12" t="inlineStr">
        <is>
          <t>Amazon Vigor_Source 100-pc</t>
        </is>
      </c>
      <c r="H22" s="13" t="n">
        <v>5.99</v>
      </c>
      <c r="I22" s="14" t="inlineStr"/>
    </row>
    <row r="23">
      <c r="A23" s="9" t="inlineStr">
        <is>
          <t>S2</t>
        </is>
      </c>
      <c r="B23" s="10" t="inlineStr">
        <is>
          <t>Fork/ring terminal assortment</t>
        </is>
      </c>
      <c r="C23" s="9" t="n">
        <v>1</v>
      </c>
      <c r="D23" s="10" t="inlineStr">
        <is>
          <t>heat-shrink insulated, 22-10 AWG, rings fit 1/4-in bus-bar studs</t>
        </is>
      </c>
      <c r="E23" s="11" t="n">
        <v>8</v>
      </c>
      <c r="F23" s="9" t="inlineStr">
        <is>
          <t>Amazon</t>
        </is>
      </c>
      <c r="G23" s="12" t="inlineStr">
        <is>
          <t>Amazon TICONN 120-pc kit</t>
        </is>
      </c>
      <c r="H23" s="13" t="n">
        <v>9.99</v>
      </c>
      <c r="I23" s="14" t="inlineStr"/>
    </row>
    <row r="24">
      <c r="A24" s="9" t="inlineStr">
        <is>
          <t>S2</t>
        </is>
      </c>
      <c r="B24" s="10" t="inlineStr">
        <is>
          <t>IEC C14 inlet w/ switch + fuse</t>
        </is>
      </c>
      <c r="C24" s="9" t="n">
        <v>1</v>
      </c>
      <c r="D24" s="10" t="inlineStr">
        <is>
          <t>2-pk w/ pre-crimped leads, spare incl</t>
        </is>
      </c>
      <c r="E24" s="11" t="n">
        <v>4</v>
      </c>
      <c r="F24" s="9" t="inlineStr">
        <is>
          <t>Amazon</t>
        </is>
      </c>
      <c r="G24" s="12" t="inlineStr">
        <is>
          <t>Amazon Antrader 2-pk</t>
        </is>
      </c>
      <c r="H24" s="13" t="n">
        <v>9.99</v>
      </c>
      <c r="I24" s="14" t="inlineStr"/>
    </row>
    <row r="25">
      <c r="A25" s="9" t="inlineStr">
        <is>
          <t>S2</t>
        </is>
      </c>
      <c r="B25" s="10" t="inlineStr">
        <is>
          <t>IEC cord #2 (plugs into wall inlet)</t>
        </is>
      </c>
      <c r="C25" s="9" t="n">
        <v>1</v>
      </c>
      <c r="D25" s="10" t="inlineStr">
        <is>
          <t>second cord of the Amazon Basics 2-pk</t>
        </is>
      </c>
      <c r="E25" s="11" t="n">
        <v>0</v>
      </c>
      <c r="F25" s="9" t="inlineStr">
        <is>
          <t>Amazon</t>
        </is>
      </c>
      <c r="G25" s="12" t="inlineStr">
        <is>
          <t>Amazon Basics C13 6 ft (2 of 2)</t>
        </is>
      </c>
      <c r="H25" s="13" t="n">
        <v>5.59</v>
      </c>
      <c r="I25" s="14" t="inlineStr"/>
    </row>
    <row r="26">
      <c r="A26" s="9" t="inlineStr">
        <is>
          <t>S2</t>
        </is>
      </c>
      <c r="B26" s="10" t="inlineStr">
        <is>
          <t>HUB75 ribbon cables</t>
        </is>
      </c>
      <c r="C26" s="9" t="n">
        <v>0</v>
      </c>
      <c r="D26" s="10" t="inlineStr">
        <is>
          <t>CUT from Amazon — each Waveshare panel ships with its own 30 cm 16P cable + power adapter (10 cables &gt; 9 hops needed)</t>
        </is>
      </c>
      <c r="E26" s="11" t="n">
        <v>0</v>
      </c>
      <c r="F26" s="9" t="inlineStr">
        <is>
          <t>included w/ panels</t>
        </is>
      </c>
      <c r="G26" s="12" t="inlineStr"/>
      <c r="H26" s="13" t="n"/>
      <c r="I26" s="14" t="inlineStr"/>
    </row>
    <row r="27">
      <c r="A27" s="9" t="inlineStr">
        <is>
          <t>S2</t>
        </is>
      </c>
      <c r="B27" s="10" t="inlineStr">
        <is>
          <t>M3 hardware</t>
        </is>
      </c>
      <c r="C27" s="9" t="n">
        <v>1</v>
      </c>
      <c r="D27" s="10" t="inlineStr">
        <is>
          <t>Amazon 750-pc assortment (M3x6-30 + nuts + washers) replaces MC 50-pk $7.99 — frame bolts need nuts, MC pack has none. Adafruit #4207 SMT solder nuts stay out</t>
        </is>
      </c>
      <c r="E27" s="11" t="n">
        <v>6</v>
      </c>
      <c r="F27" s="9" t="inlineStr">
        <is>
          <t>Amazon</t>
        </is>
      </c>
      <c r="G27" s="12" t="inlineStr">
        <is>
          <t>Amazon Fgruh 750-pc kit</t>
        </is>
      </c>
      <c r="H27" s="13" t="n">
        <v>9.99</v>
      </c>
      <c r="I27" s="14" t="inlineStr"/>
    </row>
    <row r="28">
      <c r="A28" s="7" t="inlineStr">
        <is>
          <t>TOOLS — buy ONLY what you don't own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9" t="inlineStr">
        <is>
          <t>tool</t>
        </is>
      </c>
      <c r="B29" s="10" t="inlineStr">
        <is>
          <t>Soldering iron + solder</t>
        </is>
      </c>
      <c r="C29" s="9" t="n">
        <v>1</v>
      </c>
      <c r="D29" s="10" t="inlineStr">
        <is>
          <t>Amazon $8.99 kit incl 5 tips + a small solder tube — covers this build AND closes the missing-solder gap; cut MC FNIRSI $39.99 (nicer iron, only worth it if you solder beyond this project). Fabbing the backplane later = buy a real solder spool then</t>
        </is>
      </c>
      <c r="E29" s="11" t="n">
        <v>30</v>
      </c>
      <c r="F29" s="9" t="inlineStr">
        <is>
          <t>Amazon</t>
        </is>
      </c>
      <c r="G29" s="12" t="inlineStr">
        <is>
          <t>Amazon 60 W adj-temp kit (solder incl)</t>
        </is>
      </c>
      <c r="H29" s="13" t="n">
        <v>8.99</v>
      </c>
      <c r="I29" s="14" t="inlineStr"/>
    </row>
    <row r="30">
      <c r="A30" s="9" t="inlineStr">
        <is>
          <t>tool</t>
        </is>
      </c>
      <c r="B30" s="10" t="inlineStr">
        <is>
          <t>Multimeter</t>
        </is>
      </c>
      <c r="C30" s="9" t="n">
        <v>1</v>
      </c>
      <c r="D30" s="10" t="inlineStr">
        <is>
          <t>keep ONE of THREE: Amazon $9.98 does 5 V-trim + continuity fine — cut MC MT-1210 $20.49 and Adafruit #850 $24.95</t>
        </is>
      </c>
      <c r="E30" s="11" t="n">
        <v>25</v>
      </c>
      <c r="F30" s="9" t="inlineStr">
        <is>
          <t>Amazon</t>
        </is>
      </c>
      <c r="G30" s="12" t="inlineStr">
        <is>
          <t>Amazon LJPXHHU DMM</t>
        </is>
      </c>
      <c r="H30" s="13" t="n">
        <v>9.98</v>
      </c>
      <c r="I30" s="14" t="inlineStr"/>
    </row>
    <row r="31">
      <c r="A31" s="9" t="inlineStr">
        <is>
          <t>tool</t>
        </is>
      </c>
      <c r="B31" s="10" t="inlineStr">
        <is>
          <t>Wire strippers</t>
        </is>
      </c>
      <c r="C31" s="9" t="n">
        <v>1</v>
      </c>
      <c r="D31" s="10" t="inlineStr">
        <is>
          <t>keep ONE of THREE: MC $7.99 covers 10-24 AWG — cut Adafruit #4747 $11.95 and Amazon IRWIN $13.99</t>
        </is>
      </c>
      <c r="E31" s="11" t="n">
        <v>10</v>
      </c>
      <c r="F31" s="9" t="inlineStr">
        <is>
          <t>Micro Center</t>
        </is>
      </c>
      <c r="G31" s="12" t="inlineStr">
        <is>
          <t>MC SKU 213314</t>
        </is>
      </c>
      <c r="H31" s="13" t="n">
        <v>7.99</v>
      </c>
      <c r="I31" s="14" t="inlineStr">
        <is>
          <t>Aug 21</t>
        </is>
      </c>
    </row>
    <row r="32">
      <c r="A32" s="9" t="inlineStr">
        <is>
          <t>tool</t>
        </is>
      </c>
      <c r="B32" s="10" t="inlineStr">
        <is>
          <t>Ratcheting crimper</t>
        </is>
      </c>
      <c r="C32" s="9" t="n">
        <v>1</v>
      </c>
      <c r="D32" s="10" t="inlineStr">
        <is>
          <t>BUY THE ~$16 KIND: ratcheting + dies marked INSULATED/HEAT-SHRINK terminals 22-10 AWG (oval red/blue/yellow jaw). Avoid open-barrel or non-insulated dies — they pierce the shrink. Plustool $15.99 or TICONN ~$17 pair with the terminal kit; iCrimp $45 set only adds a ferrule jaw you can skip</t>
        </is>
      </c>
      <c r="E32" s="11" t="n">
        <v>18</v>
      </c>
      <c r="F32" s="9" t="inlineStr">
        <is>
          <t>Amazon</t>
        </is>
      </c>
      <c r="G32" s="12" t="inlineStr"/>
      <c r="H32" s="13" t="n"/>
      <c r="I32" s="14" t="inlineStr"/>
    </row>
    <row r="33">
      <c r="A33" s="9" t="inlineStr">
        <is>
          <t>tool</t>
        </is>
      </c>
      <c r="B33" s="10" t="inlineStr">
        <is>
          <t>Precision screwdriver set</t>
        </is>
      </c>
      <c r="C33" s="9" t="n">
        <v>1</v>
      </c>
      <c r="D33" s="10" t="inlineStr">
        <is>
          <t>OWNED — skip</t>
        </is>
      </c>
      <c r="E33" s="11" t="n">
        <v>0</v>
      </c>
      <c r="F33" s="9" t="inlineStr">
        <is>
          <t>owned</t>
        </is>
      </c>
      <c r="G33" s="12" t="inlineStr">
        <is>
          <t>owned</t>
        </is>
      </c>
      <c r="H33" s="13" t="n"/>
      <c r="I33" s="14" t="inlineStr"/>
    </row>
    <row r="34">
      <c r="A34" s="9" t="inlineStr">
        <is>
          <t>tool</t>
        </is>
      </c>
      <c r="B34" s="10" t="inlineStr">
        <is>
          <t>Heat-shrink kit</t>
        </is>
      </c>
      <c r="C34" s="9" t="n">
        <v>1</v>
      </c>
      <c r="D34" s="10" t="inlineStr">
        <is>
          <t>keep ONE of THREE: MC $4.99 — cut Adafruit #4559 $9.95 and Amazon Rindion $4.99 (tie, but MC is same-day). NO heat gun — iron barrel shrinks tubing; cut BOTH heat guns (MC $29.99, Amazon $14.99)</t>
        </is>
      </c>
      <c r="E34" s="11" t="n">
        <v>6</v>
      </c>
      <c r="F34" s="9" t="inlineStr">
        <is>
          <t>Micro Center</t>
        </is>
      </c>
      <c r="G34" s="12" t="inlineStr">
        <is>
          <t>MC SKU 797464</t>
        </is>
      </c>
      <c r="H34" s="13" t="n">
        <v>4.99</v>
      </c>
      <c r="I34" s="14" t="inlineStr">
        <is>
          <t>Aug 21</t>
        </is>
      </c>
    </row>
    <row r="35">
      <c r="A35" s="9" t="inlineStr">
        <is>
          <t>tool</t>
        </is>
      </c>
      <c r="B35" s="10" t="inlineStr">
        <is>
          <t>Jumper wires (M-M / M-F / F-F)</t>
        </is>
      </c>
      <c r="C35" s="9" t="n">
        <v>1</v>
      </c>
      <c r="D35" s="10" t="inlineStr">
        <is>
          <t>Amazon 120-pc has all 3 genders (Pico breadboarding) — replaces Adafruit #3141 F-F-only $2.95; MC 40-pin + KS0334 stay cut; elechawk JST kit $19.99 unnecessary (the $0.95 QT cable covers the one Stemma hop)</t>
        </is>
      </c>
      <c r="E35" s="11" t="n">
        <v>5</v>
      </c>
      <c r="F35" s="9" t="inlineStr">
        <is>
          <t>Amazon</t>
        </is>
      </c>
      <c r="G35" s="12" t="inlineStr">
        <is>
          <t>Amazon 120-pc 20 cm kit</t>
        </is>
      </c>
      <c r="H35" s="13" t="n">
        <v>5.97</v>
      </c>
      <c r="I35" s="14" t="inlineStr"/>
    </row>
    <row r="36">
      <c r="A36" s="9" t="inlineStr">
        <is>
          <t>tool</t>
        </is>
      </c>
      <c r="B36" s="10" t="inlineStr">
        <is>
          <t>Micro-USB DATA cable (Pico flashing)</t>
        </is>
      </c>
      <c r="C36" s="9" t="n">
        <v>1</v>
      </c>
      <c r="D36" s="10" t="inlineStr">
        <is>
          <t>OWNED — remove Adafruit #2185 $4.95 from that cart</t>
        </is>
      </c>
      <c r="E36" s="11" t="n">
        <v>0</v>
      </c>
      <c r="F36" s="9" t="inlineStr">
        <is>
          <t>owned</t>
        </is>
      </c>
      <c r="G36" s="12" t="inlineStr">
        <is>
          <t>owned</t>
        </is>
      </c>
      <c r="H36" s="13" t="n"/>
      <c r="I36" s="14" t="inlineStr"/>
    </row>
    <row r="37">
      <c r="A37" s="7" t="inlineStr">
        <is>
          <t>DEFERRED — do NOT buy yet (S3/S6)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9" t="inlineStr">
        <is>
          <t>later</t>
        </is>
      </c>
      <c r="B38" s="10" t="inlineStr">
        <is>
          <t>OPTIONAL: 1 domestic panel (Adafruit #3649)</t>
        </is>
      </c>
      <c r="C38" s="9" t="n">
        <v>1</v>
      </c>
      <c r="D38" s="10" t="inlineStr">
        <is>
          <t>only if you won't wait 2-4 wk for freight</t>
        </is>
      </c>
      <c r="E38" s="11" t="n">
        <v>55</v>
      </c>
      <c r="F38" s="9" t="inlineStr">
        <is>
          <t>Adafruit</t>
        </is>
      </c>
      <c r="G38" s="12" t="inlineStr"/>
      <c r="H38" s="13" t="n"/>
      <c r="I38" s="14" t="inlineStr"/>
    </row>
    <row r="39">
      <c r="A39" s="9" t="inlineStr">
        <is>
          <t>later</t>
        </is>
      </c>
      <c r="B39" s="10" t="inlineStr">
        <is>
          <t>USB audio line-in (S3 ears)</t>
        </is>
      </c>
      <c r="C39" s="9" t="n">
        <v>1</v>
      </c>
      <c r="D39" s="10" t="inlineStr">
        <is>
          <t>Adafruit #1475 $4.95 starts S3; UCA202 only if S4 wants clean stereo — the Amazon $59.90 UCA202+headphones bundle and ATR2XUSB $35.99 are both cut</t>
        </is>
      </c>
      <c r="E39" s="11" t="n">
        <v>30</v>
      </c>
      <c r="F39" s="9" t="inlineStr">
        <is>
          <t>Adafruit</t>
        </is>
      </c>
      <c r="G39" s="12" t="inlineStr">
        <is>
          <t>Adafruit #1475</t>
        </is>
      </c>
      <c r="H39" s="13" t="n">
        <v>4.95</v>
      </c>
      <c r="I39" s="14" t="inlineStr"/>
    </row>
    <row r="40">
      <c r="A40" s="9" t="inlineStr">
        <is>
          <t>later</t>
        </is>
      </c>
      <c r="B40" s="10" t="inlineStr">
        <is>
          <t>Mini USB mic (S3 room-mic fallback)</t>
        </is>
      </c>
      <c r="C40" s="9" t="n">
        <v>1</v>
      </c>
      <c r="D40" s="10" t="inlineStr">
        <is>
          <t>carted THREE times — keep Adafruit $5.95; cut MC $6.99 and Amazon Estiq $5.99</t>
        </is>
      </c>
      <c r="E40" s="11" t="n">
        <v>6</v>
      </c>
      <c r="F40" s="9" t="inlineStr">
        <is>
          <t>Adafruit</t>
        </is>
      </c>
      <c r="G40" s="12" t="inlineStr">
        <is>
          <t>Adafruit #3367</t>
        </is>
      </c>
      <c r="H40" s="13" t="n">
        <v>5.95</v>
      </c>
      <c r="I40" s="14" t="inlineStr"/>
    </row>
    <row r="41">
      <c r="A41" s="9" t="inlineStr">
        <is>
          <t>later</t>
        </is>
      </c>
      <c r="B41" s="10" t="inlineStr">
        <is>
          <t>VEML7700 + StemmaQT cable (S6)</t>
        </is>
      </c>
      <c r="C41" s="9" t="n">
        <v>1</v>
      </c>
      <c r="D41" s="10" t="inlineStr">
        <is>
          <t>auto-brightness; cut Amazon GODIY 2-pk $9.58 dupe</t>
        </is>
      </c>
      <c r="E41" s="11" t="n">
        <v>8</v>
      </c>
      <c r="F41" s="9" t="inlineStr">
        <is>
          <t>Adafruit</t>
        </is>
      </c>
      <c r="G41" s="12" t="inlineStr">
        <is>
          <t>Adafruit #4162 + #4399</t>
        </is>
      </c>
      <c r="H41" s="13" t="n">
        <v>5.9</v>
      </c>
      <c r="I41" s="14" t="inlineStr"/>
    </row>
    <row r="42">
      <c r="A42" s="9" t="inlineStr">
        <is>
          <t>later</t>
        </is>
      </c>
      <c r="B42" s="10" t="inlineStr">
        <is>
          <t>Diffuser acrylic (S6)</t>
        </is>
      </c>
      <c r="C42" s="9" t="n">
        <v>1</v>
      </c>
      <c r="D42" s="10" t="inlineStr">
        <is>
          <t>Amazon 24x24-in 1/4-in translucent white: near-zero trim on a P3/576 mm wall, cut to ~500 mm for P2.5. Thicker than the planned 3 mm opal — stiffer, still diffuses; hold off buying until the pitch decision</t>
        </is>
      </c>
      <c r="E42" s="11" t="n">
        <v>30</v>
      </c>
      <c r="F42" s="9" t="inlineStr">
        <is>
          <t>Amazon</t>
        </is>
      </c>
      <c r="G42" s="12" t="inlineStr">
        <is>
          <t>Amazon AZM 24x24 sheet</t>
        </is>
      </c>
      <c r="H42" s="13" t="n">
        <v>34.99</v>
      </c>
      <c r="I42" s="14" t="inlineStr"/>
    </row>
    <row r="43">
      <c r="A43" s="9" t="inlineStr">
        <is>
          <t>later</t>
        </is>
      </c>
      <c r="B43" s="10" t="inlineStr">
        <is>
          <t>LED-grey smoked acrylic 3 mm (S6)</t>
        </is>
      </c>
      <c r="C43" s="9" t="n">
        <v>1</v>
      </c>
      <c r="D43" s="10" t="inlineStr">
        <is>
          <t>the ND contrast layer — still local plastics shop</t>
        </is>
      </c>
      <c r="E43" s="11" t="n">
        <v>35</v>
      </c>
      <c r="F43" s="9" t="inlineStr">
        <is>
          <t>local</t>
        </is>
      </c>
      <c r="G43" s="12" t="inlineStr"/>
      <c r="H43" s="13" t="n"/>
      <c r="I43" s="14" t="inlineStr"/>
    </row>
    <row r="44">
      <c r="A44" s="9" t="inlineStr">
        <is>
          <t>later</t>
        </is>
      </c>
      <c r="B44" s="10" t="inlineStr">
        <is>
          <t>French cleat + hardwood (S6)</t>
        </is>
      </c>
      <c r="C44" s="9" t="n">
        <v>1</v>
      </c>
      <c r="D44" s="10" t="inlineStr">
        <is>
          <t>OOK 533208 12-in/100-lb w/ screws + level; wall is ~15 lb, huge margin. Hardwood frame stock still local</t>
        </is>
      </c>
      <c r="E44" s="11" t="n">
        <v>40</v>
      </c>
      <c r="F44" s="9" t="inlineStr">
        <is>
          <t>Amazon + local</t>
        </is>
      </c>
      <c r="G44" s="12" t="inlineStr">
        <is>
          <t>Amazon OOK 533208</t>
        </is>
      </c>
      <c r="H44" s="13" t="n">
        <v>15.97</v>
      </c>
      <c r="I44" s="14" t="inlineStr"/>
    </row>
    <row r="45">
      <c r="A45" s="9" t="inlineStr">
        <is>
          <t>later</t>
        </is>
      </c>
      <c r="B45" s="10" t="inlineStr">
        <is>
          <t>Backplane PCB fab run (optional)</t>
        </is>
      </c>
      <c r="C45" s="9" t="n">
        <v>1</v>
      </c>
      <c r="D45" s="10" t="inlineStr">
        <is>
          <t>replaces bonnet/bus bars/fuse holders at 9-panel stage; gerbers ready</t>
        </is>
      </c>
      <c r="E45" s="11" t="n">
        <v>130</v>
      </c>
      <c r="F45" s="9" t="inlineStr">
        <is>
          <t>JLCPCB</t>
        </is>
      </c>
      <c r="G45" s="12" t="inlineStr"/>
      <c r="H45" s="13" t="n"/>
      <c r="I45" s="14" t="inlineStr"/>
    </row>
    <row r="47">
      <c r="B47" s="15" t="inlineStr">
        <is>
          <t>COMMITTED BUILD (S1 + S2)</t>
        </is>
      </c>
      <c r="E47" s="16">
        <f>SUM(E7,E8,E9,E10,E11,E12,E13,E14,E16,E17,E18,E19,E20,E21,E22,E23,E24,E25,E26,E27)</f>
        <v/>
      </c>
      <c r="H47" s="16">
        <f>SUM(H7,H8,H9,H10,H11,H12,H13,H14,H16,H17,H18,H19,H20,H21,H22,H23,H24,H25,H26,H27)</f>
        <v/>
      </c>
    </row>
    <row r="48">
      <c r="B48" s="17" t="inlineStr">
        <is>
          <t>Tools (if starting from zero)</t>
        </is>
      </c>
      <c r="E48" s="18">
        <f>SUM(E29,E30,E31,E32,E33,E34,E35,E36)</f>
        <v/>
      </c>
      <c r="H48" s="18">
        <f>SUM(H29,H30,H31,H32,H33,H34,H35,H36)</f>
        <v/>
      </c>
    </row>
    <row r="49">
      <c r="B49" s="17" t="inlineStr">
        <is>
          <t>Deferred (later stages, incl. optional PCB)</t>
        </is>
      </c>
      <c r="E49" s="18">
        <f>SUM(E38,E39,E40,E41,E42,E43,E44,E45)</f>
        <v/>
      </c>
      <c r="H49" s="18">
        <f>SUM(H38,H39,H40,H41,H42,H43,H44,H45)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2026-08-21T22:28:55Z</dcterms:created>
  <dcterms:modified xsi:type="dcterms:W3CDTF">2026-08-21T22:28:55Z</dcterms:modified>
</cp:coreProperties>
</file>